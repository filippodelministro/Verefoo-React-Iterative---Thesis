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filippo/Documents/GitHub_repo/Verefoo-React-Iterative---Thesis/"/>
    </mc:Choice>
  </mc:AlternateContent>
  <xr:revisionPtr revIDLastSave="0" documentId="13_ncr:1_{E06AC04A-1190-084B-BA8A-08988BB3DE9A}" xr6:coauthVersionLast="47" xr6:coauthVersionMax="47" xr10:uidLastSave="{00000000-0000-0000-0000-000000000000}"/>
  <bookViews>
    <workbookView xWindow="0" yWindow="0" windowWidth="25820" windowHeight="18000" tabRatio="500" xr2:uid="{00000000-000D-0000-FFFF-FFFF00000000}"/>
  </bookViews>
  <sheets>
    <sheet name="Stanford" sheetId="1" r:id="rId1"/>
    <sheet name="CESNET" sheetId="2" r:id="rId2"/>
    <sheet name="Texas2000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7" i="1"/>
  <c r="D3" i="2"/>
  <c r="D4" i="2"/>
  <c r="D5" i="2"/>
  <c r="D6" i="2"/>
  <c r="D7" i="2"/>
  <c r="D8" i="2"/>
  <c r="E5" i="2"/>
  <c r="E4" i="2"/>
  <c r="E3" i="2"/>
  <c r="E8" i="2"/>
  <c r="E7" i="2"/>
  <c r="E6" i="2"/>
</calcChain>
</file>

<file path=xl/sharedStrings.xml><?xml version="1.0" encoding="utf-8"?>
<sst xmlns="http://schemas.openxmlformats.org/spreadsheetml/2006/main" count="41" uniqueCount="28">
  <si>
    <t>Number of NSRs</t>
  </si>
  <si>
    <t>React-Iterative AVG [ms]</t>
  </si>
  <si>
    <t>Vanilla VEREFOO AVG [ms]</t>
  </si>
  <si>
    <t>PolicyNumber</t>
  </si>
  <si>
    <t>Texas 2000</t>
  </si>
  <si>
    <t>Non utilizzabile causa UNSAT</t>
  </si>
  <si>
    <t>Run</t>
  </si>
  <si>
    <t>NSR: 20</t>
  </si>
  <si>
    <t>NSR: 10</t>
  </si>
  <si>
    <t>NSR: 30</t>
  </si>
  <si>
    <t>NSR: 40</t>
  </si>
  <si>
    <t>NSR: 50</t>
  </si>
  <si>
    <t>NSR: 60</t>
  </si>
  <si>
    <t>Stanford  (PercentPairs: {0.5, 0.0} | PortSpecifics: 0.5)</t>
  </si>
  <si>
    <t>2 UNSAT</t>
  </si>
  <si>
    <t>8 UNSAT</t>
  </si>
  <si>
    <t>ReachPerc</t>
  </si>
  <si>
    <t>0.5</t>
  </si>
  <si>
    <t>0.48</t>
  </si>
  <si>
    <t>0.51</t>
  </si>
  <si>
    <t>0.49</t>
  </si>
  <si>
    <t>1, 3</t>
  </si>
  <si>
    <t>2, 6</t>
  </si>
  <si>
    <t>3, 9</t>
  </si>
  <si>
    <t>4, 12</t>
  </si>
  <si>
    <t>5, 15</t>
  </si>
  <si>
    <t>6, 18</t>
  </si>
  <si>
    <t>CESNET; Reacheability Percenteage always around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</si>
</sst>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rgb="FF333300"/>
      </patternFill>
    </fill>
    <fill>
      <patternFill patternType="solid">
        <fgColor theme="0" tint="-0.249977111117893"/>
        <bgColor rgb="FFBDBDBD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1"/>
        <bgColor rgb="FF262626"/>
      </patternFill>
    </fill>
  </fills>
  <borders count="5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medium">
        <color rgb="FF2C3E5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2C3E5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medium">
        <color rgb="FF2C3E5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4" fontId="4" fillId="4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4" fontId="4" fillId="5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/>
    </xf>
    <xf numFmtId="4" fontId="5" fillId="5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BDB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27AE60"/>
      <rgbColor rgb="FF003300"/>
      <rgbColor rgb="FF333300"/>
      <rgbColor rgb="FF993300"/>
      <rgbColor rgb="FF993366"/>
      <rgbColor rgb="FF2C3E50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Stanford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React-Iterative</c:v>
          </c:tx>
          <c:spPr>
            <a:ln w="20160">
              <a:solidFill>
                <a:srgbClr val="27AE60"/>
              </a:solidFill>
              <a:round/>
            </a:ln>
          </c:spPr>
          <c:marker>
            <c:symbol val="circle"/>
            <c:size val="6"/>
            <c:spPr>
              <a:solidFill>
                <a:srgbClr val="27AE6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Stanford!$A$6:$A$11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Stanford!$B$7:$B$11</c:f>
              <c:numCache>
                <c:formatCode>#,##0.00</c:formatCode>
                <c:ptCount val="5"/>
                <c:pt idx="0">
                  <c:v>146321.20000000001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1-8843-A997-694970C424F6}"/>
            </c:ext>
          </c:extLst>
        </c:ser>
        <c:ser>
          <c:idx val="1"/>
          <c:order val="1"/>
          <c:tx>
            <c:v>Vanilla VEREFOO</c:v>
          </c:tx>
          <c:spPr>
            <a:ln w="20160">
              <a:solidFill>
                <a:srgbClr val="2C3E50"/>
              </a:solidFill>
              <a:round/>
            </a:ln>
          </c:spPr>
          <c:marker>
            <c:symbol val="square"/>
            <c:size val="6"/>
            <c:spPr>
              <a:solidFill>
                <a:srgbClr val="2C3E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Stanford!$A$6:$A$11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Stanford!$C$6:$C$11</c:f>
              <c:numCache>
                <c:formatCode>#,##0.00</c:formatCode>
                <c:ptCount val="6"/>
                <c:pt idx="0">
                  <c:v>47.25</c:v>
                </c:pt>
                <c:pt idx="1">
                  <c:v>29.15</c:v>
                </c:pt>
                <c:pt idx="2">
                  <c:v>69.2</c:v>
                </c:pt>
                <c:pt idx="3">
                  <c:v>88.7</c:v>
                </c:pt>
                <c:pt idx="4">
                  <c:v>134.19999999999999</c:v>
                </c:pt>
                <c:pt idx="5">
                  <c:v>209.9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1-8843-A997-694970C42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828388"/>
        <c:axId val="49317677"/>
      </c:lineChart>
      <c:catAx>
        <c:axId val="85828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NSRs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49317677"/>
        <c:crosses val="autoZero"/>
        <c:auto val="1"/>
        <c:lblAlgn val="ctr"/>
        <c:lblOffset val="100"/>
        <c:noMultiLvlLbl val="0"/>
      </c:catAx>
      <c:valAx>
        <c:axId val="493176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858283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CESNET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React-Iterative</c:v>
          </c:tx>
          <c:spPr>
            <a:ln w="20160">
              <a:solidFill>
                <a:srgbClr val="27AE60"/>
              </a:solidFill>
              <a:round/>
            </a:ln>
          </c:spPr>
          <c:marker>
            <c:symbol val="circle"/>
            <c:size val="6"/>
            <c:spPr>
              <a:solidFill>
                <a:srgbClr val="27AE6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CESNET!$C$3:$C$8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CESNET!$D$3:$D$8</c:f>
              <c:numCache>
                <c:formatCode>#,##0.00</c:formatCode>
                <c:ptCount val="6"/>
                <c:pt idx="0">
                  <c:v>345.7</c:v>
                </c:pt>
                <c:pt idx="1">
                  <c:v>670.4</c:v>
                </c:pt>
                <c:pt idx="2">
                  <c:v>975.15</c:v>
                </c:pt>
                <c:pt idx="3">
                  <c:v>1302.047619047619</c:v>
                </c:pt>
                <c:pt idx="4">
                  <c:v>1587.3</c:v>
                </c:pt>
                <c:pt idx="5">
                  <c:v>1912.1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E-4445-BA02-2AF608C9E1B8}"/>
            </c:ext>
          </c:extLst>
        </c:ser>
        <c:ser>
          <c:idx val="1"/>
          <c:order val="1"/>
          <c:tx>
            <c:v>Vanilla VEREFOO</c:v>
          </c:tx>
          <c:spPr>
            <a:ln w="20160">
              <a:solidFill>
                <a:srgbClr val="2C3E50"/>
              </a:solidFill>
              <a:round/>
            </a:ln>
          </c:spPr>
          <c:marker>
            <c:symbol val="square"/>
            <c:size val="6"/>
            <c:spPr>
              <a:solidFill>
                <a:srgbClr val="2C3E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CESNET!$C$3:$C$8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CESNET!$E$3:$E$8</c:f>
              <c:numCache>
                <c:formatCode>#,##0.00</c:formatCode>
                <c:ptCount val="6"/>
                <c:pt idx="0">
                  <c:v>2540.75</c:v>
                </c:pt>
                <c:pt idx="1">
                  <c:v>15034.1</c:v>
                </c:pt>
                <c:pt idx="2">
                  <c:v>43808.9</c:v>
                </c:pt>
                <c:pt idx="3">
                  <c:v>124081.90476190476</c:v>
                </c:pt>
                <c:pt idx="4">
                  <c:v>356093.25</c:v>
                </c:pt>
                <c:pt idx="5">
                  <c:v>966891.85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E-4445-BA02-2AF608C9E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934070"/>
        <c:axId val="8691040"/>
      </c:lineChart>
      <c:catAx>
        <c:axId val="479340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NSRs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8691040"/>
        <c:crosses val="autoZero"/>
        <c:auto val="1"/>
        <c:lblAlgn val="ctr"/>
        <c:lblOffset val="100"/>
        <c:noMultiLvlLbl val="0"/>
      </c:catAx>
      <c:valAx>
        <c:axId val="86910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479340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Texas 2000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React-Iterative</c:v>
          </c:tx>
          <c:spPr>
            <a:ln w="20160">
              <a:solidFill>
                <a:srgbClr val="27AE60"/>
              </a:solidFill>
              <a:round/>
            </a:ln>
          </c:spPr>
          <c:marker>
            <c:symbol val="circle"/>
            <c:size val="6"/>
            <c:spPr>
              <a:solidFill>
                <a:srgbClr val="27AE6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Texas2000!$B$3:$B$8</c:f>
              <c:numCache>
                <c:formatCode>General</c:formatCode>
                <c:ptCount val="6"/>
                <c:pt idx="0">
                  <c:v>48</c:v>
                </c:pt>
                <c:pt idx="1">
                  <c:v>96</c:v>
                </c:pt>
                <c:pt idx="2">
                  <c:v>144</c:v>
                </c:pt>
                <c:pt idx="3">
                  <c:v>192</c:v>
                </c:pt>
                <c:pt idx="4">
                  <c:v>240</c:v>
                </c:pt>
                <c:pt idx="5">
                  <c:v>288</c:v>
                </c:pt>
              </c:numCache>
            </c:numRef>
          </c:cat>
          <c:val>
            <c:numRef>
              <c:f>Texas2000!$C$3:$C$8</c:f>
              <c:numCache>
                <c:formatCode>#,##0.00</c:formatCode>
                <c:ptCount val="6"/>
                <c:pt idx="0">
                  <c:v>514</c:v>
                </c:pt>
                <c:pt idx="1">
                  <c:v>1453</c:v>
                </c:pt>
                <c:pt idx="2">
                  <c:v>3765</c:v>
                </c:pt>
                <c:pt idx="3">
                  <c:v>5970</c:v>
                </c:pt>
                <c:pt idx="4">
                  <c:v>10922</c:v>
                </c:pt>
                <c:pt idx="5">
                  <c:v>17083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F-714F-BDDD-EBA0AC0BCD8A}"/>
            </c:ext>
          </c:extLst>
        </c:ser>
        <c:ser>
          <c:idx val="1"/>
          <c:order val="1"/>
          <c:tx>
            <c:v>Vanilla VEREFOO</c:v>
          </c:tx>
          <c:spPr>
            <a:ln w="20160">
              <a:solidFill>
                <a:srgbClr val="2C3E50"/>
              </a:solidFill>
              <a:round/>
            </a:ln>
          </c:spPr>
          <c:marker>
            <c:symbol val="square"/>
            <c:size val="6"/>
            <c:spPr>
              <a:solidFill>
                <a:srgbClr val="2C3E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Texas2000!$B$3:$B$8</c:f>
              <c:numCache>
                <c:formatCode>General</c:formatCode>
                <c:ptCount val="6"/>
                <c:pt idx="0">
                  <c:v>48</c:v>
                </c:pt>
                <c:pt idx="1">
                  <c:v>96</c:v>
                </c:pt>
                <c:pt idx="2">
                  <c:v>144</c:v>
                </c:pt>
                <c:pt idx="3">
                  <c:v>192</c:v>
                </c:pt>
                <c:pt idx="4">
                  <c:v>240</c:v>
                </c:pt>
                <c:pt idx="5">
                  <c:v>288</c:v>
                </c:pt>
              </c:numCache>
            </c:numRef>
          </c:cat>
          <c:val>
            <c:numRef>
              <c:f>Texas2000!$D$3:$D$8</c:f>
              <c:numCache>
                <c:formatCode>#,##0.00</c:formatCode>
                <c:ptCount val="6"/>
                <c:pt idx="0">
                  <c:v>86</c:v>
                </c:pt>
                <c:pt idx="1">
                  <c:v>389</c:v>
                </c:pt>
                <c:pt idx="2">
                  <c:v>1147</c:v>
                </c:pt>
                <c:pt idx="3">
                  <c:v>2946</c:v>
                </c:pt>
                <c:pt idx="4">
                  <c:v>6483</c:v>
                </c:pt>
                <c:pt idx="5">
                  <c:v>11449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F-714F-BDDD-EBA0AC0BC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3658520"/>
        <c:axId val="6865955"/>
      </c:lineChart>
      <c:catAx>
        <c:axId val="636585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NSRs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6865955"/>
        <c:crosses val="autoZero"/>
        <c:auto val="1"/>
        <c:lblAlgn val="ctr"/>
        <c:lblOffset val="100"/>
        <c:noMultiLvlLbl val="0"/>
      </c:catAx>
      <c:valAx>
        <c:axId val="68659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636585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438959</xdr:colOff>
      <xdr:row>2</xdr:row>
      <xdr:rowOff>168584</xdr:rowOff>
    </xdr:from>
    <xdr:to>
      <xdr:col>14</xdr:col>
      <xdr:colOff>146662</xdr:colOff>
      <xdr:row>24</xdr:row>
      <xdr:rowOff>158908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42701</xdr:colOff>
      <xdr:row>0</xdr:row>
      <xdr:rowOff>234123</xdr:rowOff>
    </xdr:from>
    <xdr:to>
      <xdr:col>19</xdr:col>
      <xdr:colOff>413501</xdr:colOff>
      <xdr:row>23</xdr:row>
      <xdr:rowOff>12406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118440</xdr:colOff>
      <xdr:row>0</xdr:row>
      <xdr:rowOff>101520</xdr:rowOff>
    </xdr:from>
    <xdr:to>
      <xdr:col>15</xdr:col>
      <xdr:colOff>488879</xdr:colOff>
      <xdr:row>22</xdr:row>
      <xdr:rowOff>68040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tabSelected="1" zoomScale="113" zoomScaleNormal="100" workbookViewId="0">
      <selection activeCell="G29" sqref="G29"/>
    </sheetView>
  </sheetViews>
  <sheetFormatPr baseColWidth="10" defaultColWidth="8.6640625" defaultRowHeight="15" x14ac:dyDescent="0.2"/>
  <cols>
    <col min="1" max="1" width="14.5" customWidth="1"/>
    <col min="2" max="2" width="26" customWidth="1"/>
    <col min="3" max="3" width="24.1640625" customWidth="1"/>
  </cols>
  <sheetData>
    <row r="1" spans="1:3" x14ac:dyDescent="0.2">
      <c r="A1" s="6"/>
      <c r="B1" s="7"/>
      <c r="C1" s="7"/>
    </row>
    <row r="4" spans="1:3" ht="27.75" customHeight="1" x14ac:dyDescent="0.2">
      <c r="A4" s="13" t="s">
        <v>13</v>
      </c>
      <c r="B4" s="13"/>
      <c r="C4" s="13"/>
    </row>
    <row r="5" spans="1:3" ht="15.75" customHeight="1" thickBot="1" x14ac:dyDescent="0.25">
      <c r="A5" s="1" t="s">
        <v>0</v>
      </c>
      <c r="B5" s="1" t="s">
        <v>1</v>
      </c>
      <c r="C5" s="1" t="s">
        <v>2</v>
      </c>
    </row>
    <row r="6" spans="1:3" x14ac:dyDescent="0.2">
      <c r="A6" s="2">
        <v>10</v>
      </c>
      <c r="B6" s="8">
        <f>AVERAGE(B15:B34)</f>
        <v>913.15</v>
      </c>
      <c r="C6" s="3">
        <v>47.25</v>
      </c>
    </row>
    <row r="7" spans="1:3" x14ac:dyDescent="0.2">
      <c r="A7" s="4">
        <v>20</v>
      </c>
      <c r="B7" s="8">
        <f>AVERAGE(B37:B56)</f>
        <v>146321.20000000001</v>
      </c>
      <c r="C7" s="5">
        <v>29.15</v>
      </c>
    </row>
    <row r="8" spans="1:3" x14ac:dyDescent="0.2">
      <c r="A8" s="2">
        <v>30</v>
      </c>
      <c r="B8" s="8"/>
      <c r="C8" s="3">
        <v>69.2</v>
      </c>
    </row>
    <row r="9" spans="1:3" x14ac:dyDescent="0.2">
      <c r="A9" s="4">
        <v>40</v>
      </c>
      <c r="B9" s="9"/>
      <c r="C9" s="5">
        <v>88.7</v>
      </c>
    </row>
    <row r="10" spans="1:3" x14ac:dyDescent="0.2">
      <c r="A10" s="2">
        <v>50</v>
      </c>
      <c r="B10" s="8"/>
      <c r="C10" s="3">
        <v>134.19999999999999</v>
      </c>
    </row>
    <row r="11" spans="1:3" x14ac:dyDescent="0.2">
      <c r="A11" s="4">
        <v>60</v>
      </c>
      <c r="B11" s="9"/>
      <c r="C11" s="5">
        <v>209.9</v>
      </c>
    </row>
    <row r="12" spans="1:3" x14ac:dyDescent="0.2">
      <c r="B12" s="10"/>
    </row>
    <row r="14" spans="1:3" ht="16" thickBot="1" x14ac:dyDescent="0.25">
      <c r="A14" s="1" t="s">
        <v>6</v>
      </c>
      <c r="B14" s="11" t="s">
        <v>8</v>
      </c>
      <c r="C14" s="12"/>
    </row>
    <row r="15" spans="1:3" x14ac:dyDescent="0.2">
      <c r="A15">
        <v>1</v>
      </c>
      <c r="B15">
        <v>2302</v>
      </c>
    </row>
    <row r="16" spans="1:3" x14ac:dyDescent="0.2">
      <c r="A16">
        <v>2</v>
      </c>
      <c r="B16">
        <v>783</v>
      </c>
    </row>
    <row r="17" spans="1:2" x14ac:dyDescent="0.2">
      <c r="A17">
        <v>3</v>
      </c>
      <c r="B17">
        <v>1332</v>
      </c>
    </row>
    <row r="18" spans="1:2" x14ac:dyDescent="0.2">
      <c r="A18">
        <v>4</v>
      </c>
      <c r="B18">
        <v>2088</v>
      </c>
    </row>
    <row r="19" spans="1:2" x14ac:dyDescent="0.2">
      <c r="A19">
        <v>5</v>
      </c>
      <c r="B19">
        <v>4237</v>
      </c>
    </row>
    <row r="20" spans="1:2" x14ac:dyDescent="0.2">
      <c r="A20">
        <v>6</v>
      </c>
      <c r="B20">
        <v>375</v>
      </c>
    </row>
    <row r="21" spans="1:2" x14ac:dyDescent="0.2">
      <c r="A21">
        <v>7</v>
      </c>
      <c r="B21">
        <v>492</v>
      </c>
    </row>
    <row r="22" spans="1:2" x14ac:dyDescent="0.2">
      <c r="A22">
        <v>8</v>
      </c>
      <c r="B22">
        <v>441</v>
      </c>
    </row>
    <row r="23" spans="1:2" x14ac:dyDescent="0.2">
      <c r="A23">
        <v>9</v>
      </c>
      <c r="B23">
        <v>438</v>
      </c>
    </row>
    <row r="24" spans="1:2" x14ac:dyDescent="0.2">
      <c r="A24">
        <v>10</v>
      </c>
      <c r="B24">
        <v>597</v>
      </c>
    </row>
    <row r="25" spans="1:2" x14ac:dyDescent="0.2">
      <c r="A25">
        <v>11</v>
      </c>
      <c r="B25">
        <v>343</v>
      </c>
    </row>
    <row r="26" spans="1:2" x14ac:dyDescent="0.2">
      <c r="A26">
        <v>12</v>
      </c>
      <c r="B26">
        <v>367</v>
      </c>
    </row>
    <row r="27" spans="1:2" x14ac:dyDescent="0.2">
      <c r="A27">
        <v>13</v>
      </c>
      <c r="B27">
        <v>379</v>
      </c>
    </row>
    <row r="28" spans="1:2" x14ac:dyDescent="0.2">
      <c r="A28">
        <v>14</v>
      </c>
      <c r="B28">
        <v>597</v>
      </c>
    </row>
    <row r="29" spans="1:2" x14ac:dyDescent="0.2">
      <c r="A29">
        <v>15</v>
      </c>
      <c r="B29">
        <v>414</v>
      </c>
    </row>
    <row r="30" spans="1:2" x14ac:dyDescent="0.2">
      <c r="A30">
        <v>16</v>
      </c>
      <c r="B30">
        <v>502</v>
      </c>
    </row>
    <row r="31" spans="1:2" x14ac:dyDescent="0.2">
      <c r="A31">
        <v>17</v>
      </c>
      <c r="B31">
        <v>893</v>
      </c>
    </row>
    <row r="32" spans="1:2" x14ac:dyDescent="0.2">
      <c r="A32">
        <v>18</v>
      </c>
      <c r="B32">
        <v>448</v>
      </c>
    </row>
    <row r="33" spans="1:5" x14ac:dyDescent="0.2">
      <c r="A33">
        <v>19</v>
      </c>
      <c r="B33">
        <v>451</v>
      </c>
    </row>
    <row r="34" spans="1:5" x14ac:dyDescent="0.2">
      <c r="A34">
        <v>20</v>
      </c>
      <c r="B34">
        <v>784</v>
      </c>
      <c r="E34" t="s">
        <v>14</v>
      </c>
    </row>
    <row r="36" spans="1:5" ht="16" thickBot="1" x14ac:dyDescent="0.25">
      <c r="A36" s="1" t="s">
        <v>6</v>
      </c>
      <c r="B36" s="11" t="s">
        <v>7</v>
      </c>
      <c r="C36" s="12"/>
    </row>
    <row r="37" spans="1:5" x14ac:dyDescent="0.2">
      <c r="A37">
        <v>1</v>
      </c>
      <c r="B37">
        <v>1816606</v>
      </c>
    </row>
    <row r="38" spans="1:5" x14ac:dyDescent="0.2">
      <c r="A38">
        <v>2</v>
      </c>
      <c r="B38">
        <v>19826</v>
      </c>
    </row>
    <row r="39" spans="1:5" x14ac:dyDescent="0.2">
      <c r="A39">
        <v>3</v>
      </c>
      <c r="B39">
        <v>251055</v>
      </c>
    </row>
    <row r="40" spans="1:5" x14ac:dyDescent="0.2">
      <c r="A40">
        <v>4</v>
      </c>
      <c r="B40">
        <v>18179</v>
      </c>
    </row>
    <row r="41" spans="1:5" x14ac:dyDescent="0.2">
      <c r="A41">
        <v>5</v>
      </c>
      <c r="B41">
        <v>106233</v>
      </c>
    </row>
    <row r="42" spans="1:5" x14ac:dyDescent="0.2">
      <c r="A42">
        <v>6</v>
      </c>
      <c r="B42">
        <v>15695</v>
      </c>
    </row>
    <row r="43" spans="1:5" x14ac:dyDescent="0.2">
      <c r="A43">
        <v>7</v>
      </c>
      <c r="B43">
        <v>18643</v>
      </c>
    </row>
    <row r="44" spans="1:5" x14ac:dyDescent="0.2">
      <c r="A44">
        <v>8</v>
      </c>
      <c r="B44">
        <v>30776</v>
      </c>
    </row>
    <row r="45" spans="1:5" x14ac:dyDescent="0.2">
      <c r="A45">
        <v>9</v>
      </c>
      <c r="B45">
        <v>11636</v>
      </c>
    </row>
    <row r="46" spans="1:5" x14ac:dyDescent="0.2">
      <c r="A46">
        <v>10</v>
      </c>
      <c r="B46">
        <v>97737</v>
      </c>
    </row>
    <row r="47" spans="1:5" x14ac:dyDescent="0.2">
      <c r="A47">
        <v>11</v>
      </c>
      <c r="B47">
        <v>116425</v>
      </c>
    </row>
    <row r="48" spans="1:5" x14ac:dyDescent="0.2">
      <c r="A48">
        <v>12</v>
      </c>
      <c r="B48">
        <v>104168</v>
      </c>
    </row>
    <row r="49" spans="1:5" x14ac:dyDescent="0.2">
      <c r="A49">
        <v>13</v>
      </c>
      <c r="B49">
        <v>53539</v>
      </c>
    </row>
    <row r="50" spans="1:5" x14ac:dyDescent="0.2">
      <c r="A50">
        <v>14</v>
      </c>
      <c r="B50">
        <v>7857</v>
      </c>
    </row>
    <row r="51" spans="1:5" x14ac:dyDescent="0.2">
      <c r="A51">
        <v>15</v>
      </c>
      <c r="B51">
        <v>36020</v>
      </c>
    </row>
    <row r="52" spans="1:5" x14ac:dyDescent="0.2">
      <c r="A52">
        <v>16</v>
      </c>
      <c r="B52">
        <v>22636</v>
      </c>
    </row>
    <row r="53" spans="1:5" x14ac:dyDescent="0.2">
      <c r="A53">
        <v>17</v>
      </c>
      <c r="B53">
        <v>3276</v>
      </c>
    </row>
    <row r="54" spans="1:5" x14ac:dyDescent="0.2">
      <c r="A54">
        <v>18</v>
      </c>
      <c r="B54">
        <v>15505</v>
      </c>
    </row>
    <row r="55" spans="1:5" x14ac:dyDescent="0.2">
      <c r="A55">
        <v>19</v>
      </c>
      <c r="B55">
        <v>78633</v>
      </c>
    </row>
    <row r="56" spans="1:5" x14ac:dyDescent="0.2">
      <c r="A56">
        <v>20</v>
      </c>
      <c r="B56">
        <v>101979</v>
      </c>
      <c r="E56" t="s">
        <v>15</v>
      </c>
    </row>
    <row r="58" spans="1:5" ht="16" thickBot="1" x14ac:dyDescent="0.25">
      <c r="A58" s="1" t="s">
        <v>6</v>
      </c>
      <c r="B58" s="11" t="s">
        <v>9</v>
      </c>
      <c r="C58" s="12"/>
    </row>
    <row r="59" spans="1:5" x14ac:dyDescent="0.2">
      <c r="A59">
        <v>1</v>
      </c>
    </row>
    <row r="60" spans="1:5" x14ac:dyDescent="0.2">
      <c r="A60">
        <v>2</v>
      </c>
    </row>
    <row r="61" spans="1:5" x14ac:dyDescent="0.2">
      <c r="A61">
        <v>3</v>
      </c>
    </row>
    <row r="62" spans="1:5" x14ac:dyDescent="0.2">
      <c r="A62">
        <v>4</v>
      </c>
    </row>
    <row r="63" spans="1:5" x14ac:dyDescent="0.2">
      <c r="A63">
        <v>5</v>
      </c>
    </row>
    <row r="64" spans="1:5" x14ac:dyDescent="0.2">
      <c r="A64">
        <v>6</v>
      </c>
    </row>
    <row r="65" spans="1:3" x14ac:dyDescent="0.2">
      <c r="A65">
        <v>7</v>
      </c>
    </row>
    <row r="66" spans="1:3" x14ac:dyDescent="0.2">
      <c r="A66">
        <v>8</v>
      </c>
    </row>
    <row r="67" spans="1:3" x14ac:dyDescent="0.2">
      <c r="A67">
        <v>9</v>
      </c>
    </row>
    <row r="68" spans="1:3" x14ac:dyDescent="0.2">
      <c r="A68">
        <v>10</v>
      </c>
    </row>
    <row r="69" spans="1:3" x14ac:dyDescent="0.2">
      <c r="A69">
        <v>11</v>
      </c>
    </row>
    <row r="70" spans="1:3" x14ac:dyDescent="0.2">
      <c r="A70">
        <v>12</v>
      </c>
    </row>
    <row r="71" spans="1:3" x14ac:dyDescent="0.2">
      <c r="A71">
        <v>13</v>
      </c>
    </row>
    <row r="72" spans="1:3" x14ac:dyDescent="0.2">
      <c r="A72">
        <v>14</v>
      </c>
    </row>
    <row r="73" spans="1:3" x14ac:dyDescent="0.2">
      <c r="A73">
        <v>15</v>
      </c>
    </row>
    <row r="74" spans="1:3" x14ac:dyDescent="0.2">
      <c r="A74">
        <v>16</v>
      </c>
    </row>
    <row r="75" spans="1:3" x14ac:dyDescent="0.2">
      <c r="A75">
        <v>17</v>
      </c>
    </row>
    <row r="76" spans="1:3" x14ac:dyDescent="0.2">
      <c r="A76">
        <v>18</v>
      </c>
    </row>
    <row r="77" spans="1:3" x14ac:dyDescent="0.2">
      <c r="A77">
        <v>19</v>
      </c>
    </row>
    <row r="78" spans="1:3" x14ac:dyDescent="0.2">
      <c r="A78">
        <v>20</v>
      </c>
    </row>
    <row r="80" spans="1:3" ht="16" thickBot="1" x14ac:dyDescent="0.25">
      <c r="A80" s="1" t="s">
        <v>6</v>
      </c>
      <c r="B80" s="11" t="s">
        <v>10</v>
      </c>
      <c r="C80" s="12"/>
    </row>
    <row r="81" spans="1:1" x14ac:dyDescent="0.2">
      <c r="A81">
        <v>1</v>
      </c>
    </row>
    <row r="82" spans="1:1" x14ac:dyDescent="0.2">
      <c r="A82">
        <v>2</v>
      </c>
    </row>
    <row r="83" spans="1:1" x14ac:dyDescent="0.2">
      <c r="A83">
        <v>3</v>
      </c>
    </row>
    <row r="84" spans="1:1" x14ac:dyDescent="0.2">
      <c r="A84">
        <v>4</v>
      </c>
    </row>
    <row r="85" spans="1:1" x14ac:dyDescent="0.2">
      <c r="A85">
        <v>5</v>
      </c>
    </row>
    <row r="86" spans="1:1" x14ac:dyDescent="0.2">
      <c r="A86">
        <v>6</v>
      </c>
    </row>
    <row r="87" spans="1:1" x14ac:dyDescent="0.2">
      <c r="A87">
        <v>7</v>
      </c>
    </row>
    <row r="88" spans="1:1" x14ac:dyDescent="0.2">
      <c r="A88">
        <v>8</v>
      </c>
    </row>
    <row r="89" spans="1:1" x14ac:dyDescent="0.2">
      <c r="A89">
        <v>9</v>
      </c>
    </row>
    <row r="90" spans="1:1" x14ac:dyDescent="0.2">
      <c r="A90">
        <v>10</v>
      </c>
    </row>
    <row r="91" spans="1:1" x14ac:dyDescent="0.2">
      <c r="A91">
        <v>11</v>
      </c>
    </row>
    <row r="92" spans="1:1" x14ac:dyDescent="0.2">
      <c r="A92">
        <v>12</v>
      </c>
    </row>
    <row r="93" spans="1:1" x14ac:dyDescent="0.2">
      <c r="A93">
        <v>13</v>
      </c>
    </row>
    <row r="94" spans="1:1" x14ac:dyDescent="0.2">
      <c r="A94">
        <v>14</v>
      </c>
    </row>
    <row r="95" spans="1:1" x14ac:dyDescent="0.2">
      <c r="A95">
        <v>15</v>
      </c>
    </row>
    <row r="96" spans="1:1" x14ac:dyDescent="0.2">
      <c r="A96">
        <v>16</v>
      </c>
    </row>
    <row r="97" spans="1:3" x14ac:dyDescent="0.2">
      <c r="A97">
        <v>17</v>
      </c>
    </row>
    <row r="98" spans="1:3" x14ac:dyDescent="0.2">
      <c r="A98">
        <v>18</v>
      </c>
    </row>
    <row r="99" spans="1:3" x14ac:dyDescent="0.2">
      <c r="A99">
        <v>19</v>
      </c>
    </row>
    <row r="100" spans="1:3" x14ac:dyDescent="0.2">
      <c r="A100">
        <v>20</v>
      </c>
    </row>
    <row r="102" spans="1:3" ht="16" thickBot="1" x14ac:dyDescent="0.25">
      <c r="A102" s="1" t="s">
        <v>6</v>
      </c>
      <c r="B102" s="11" t="s">
        <v>11</v>
      </c>
      <c r="C102" s="12"/>
    </row>
    <row r="103" spans="1:3" x14ac:dyDescent="0.2">
      <c r="A103">
        <v>1</v>
      </c>
    </row>
    <row r="104" spans="1:3" x14ac:dyDescent="0.2">
      <c r="A104">
        <v>2</v>
      </c>
    </row>
    <row r="105" spans="1:3" x14ac:dyDescent="0.2">
      <c r="A105">
        <v>3</v>
      </c>
    </row>
    <row r="106" spans="1:3" x14ac:dyDescent="0.2">
      <c r="A106">
        <v>4</v>
      </c>
    </row>
    <row r="107" spans="1:3" x14ac:dyDescent="0.2">
      <c r="A107">
        <v>5</v>
      </c>
    </row>
    <row r="108" spans="1:3" x14ac:dyDescent="0.2">
      <c r="A108">
        <v>6</v>
      </c>
    </row>
    <row r="109" spans="1:3" x14ac:dyDescent="0.2">
      <c r="A109">
        <v>7</v>
      </c>
    </row>
    <row r="110" spans="1:3" x14ac:dyDescent="0.2">
      <c r="A110">
        <v>8</v>
      </c>
    </row>
    <row r="111" spans="1:3" x14ac:dyDescent="0.2">
      <c r="A111">
        <v>9</v>
      </c>
    </row>
    <row r="112" spans="1:3" x14ac:dyDescent="0.2">
      <c r="A112">
        <v>10</v>
      </c>
    </row>
    <row r="113" spans="1:3" x14ac:dyDescent="0.2">
      <c r="A113">
        <v>11</v>
      </c>
    </row>
    <row r="114" spans="1:3" x14ac:dyDescent="0.2">
      <c r="A114">
        <v>12</v>
      </c>
    </row>
    <row r="115" spans="1:3" x14ac:dyDescent="0.2">
      <c r="A115">
        <v>13</v>
      </c>
    </row>
    <row r="116" spans="1:3" x14ac:dyDescent="0.2">
      <c r="A116">
        <v>14</v>
      </c>
    </row>
    <row r="117" spans="1:3" x14ac:dyDescent="0.2">
      <c r="A117">
        <v>15</v>
      </c>
    </row>
    <row r="118" spans="1:3" x14ac:dyDescent="0.2">
      <c r="A118">
        <v>16</v>
      </c>
    </row>
    <row r="119" spans="1:3" x14ac:dyDescent="0.2">
      <c r="A119">
        <v>17</v>
      </c>
    </row>
    <row r="120" spans="1:3" x14ac:dyDescent="0.2">
      <c r="A120">
        <v>18</v>
      </c>
    </row>
    <row r="121" spans="1:3" x14ac:dyDescent="0.2">
      <c r="A121">
        <v>19</v>
      </c>
    </row>
    <row r="122" spans="1:3" x14ac:dyDescent="0.2">
      <c r="A122">
        <v>20</v>
      </c>
    </row>
    <row r="124" spans="1:3" ht="16" thickBot="1" x14ac:dyDescent="0.25">
      <c r="A124" s="1" t="s">
        <v>6</v>
      </c>
      <c r="B124" s="11" t="s">
        <v>12</v>
      </c>
      <c r="C124" s="12"/>
    </row>
    <row r="125" spans="1:3" x14ac:dyDescent="0.2">
      <c r="A125">
        <v>1</v>
      </c>
    </row>
    <row r="126" spans="1:3" x14ac:dyDescent="0.2">
      <c r="A126">
        <v>2</v>
      </c>
    </row>
    <row r="127" spans="1:3" x14ac:dyDescent="0.2">
      <c r="A127">
        <v>3</v>
      </c>
    </row>
    <row r="128" spans="1:3" x14ac:dyDescent="0.2">
      <c r="A128">
        <v>4</v>
      </c>
    </row>
    <row r="129" spans="1:1" x14ac:dyDescent="0.2">
      <c r="A129">
        <v>5</v>
      </c>
    </row>
    <row r="130" spans="1:1" x14ac:dyDescent="0.2">
      <c r="A130">
        <v>6</v>
      </c>
    </row>
    <row r="131" spans="1:1" x14ac:dyDescent="0.2">
      <c r="A131">
        <v>7</v>
      </c>
    </row>
    <row r="132" spans="1:1" x14ac:dyDescent="0.2">
      <c r="A132">
        <v>8</v>
      </c>
    </row>
    <row r="133" spans="1:1" x14ac:dyDescent="0.2">
      <c r="A133">
        <v>9</v>
      </c>
    </row>
    <row r="134" spans="1:1" x14ac:dyDescent="0.2">
      <c r="A134">
        <v>10</v>
      </c>
    </row>
    <row r="135" spans="1:1" x14ac:dyDescent="0.2">
      <c r="A135">
        <v>11</v>
      </c>
    </row>
    <row r="136" spans="1:1" x14ac:dyDescent="0.2">
      <c r="A136">
        <v>12</v>
      </c>
    </row>
    <row r="137" spans="1:1" x14ac:dyDescent="0.2">
      <c r="A137">
        <v>13</v>
      </c>
    </row>
    <row r="138" spans="1:1" x14ac:dyDescent="0.2">
      <c r="A138">
        <v>14</v>
      </c>
    </row>
    <row r="139" spans="1:1" x14ac:dyDescent="0.2">
      <c r="A139">
        <v>15</v>
      </c>
    </row>
    <row r="140" spans="1:1" x14ac:dyDescent="0.2">
      <c r="A140">
        <v>16</v>
      </c>
    </row>
    <row r="141" spans="1:1" x14ac:dyDescent="0.2">
      <c r="A141">
        <v>17</v>
      </c>
    </row>
    <row r="142" spans="1:1" x14ac:dyDescent="0.2">
      <c r="A142">
        <v>18</v>
      </c>
    </row>
    <row r="143" spans="1:1" x14ac:dyDescent="0.2">
      <c r="A143">
        <v>19</v>
      </c>
    </row>
    <row r="144" spans="1:1" x14ac:dyDescent="0.2">
      <c r="A144">
        <v>20</v>
      </c>
    </row>
  </sheetData>
  <mergeCells count="7">
    <mergeCell ref="B58:C58"/>
    <mergeCell ref="B80:C80"/>
    <mergeCell ref="B102:C102"/>
    <mergeCell ref="B124:C124"/>
    <mergeCell ref="A4:C4"/>
    <mergeCell ref="B14:C14"/>
    <mergeCell ref="B36:C3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6"/>
  <sheetViews>
    <sheetView zoomScale="75" zoomScaleNormal="100" workbookViewId="0">
      <selection sqref="A1:E1"/>
    </sheetView>
  </sheetViews>
  <sheetFormatPr baseColWidth="10" defaultColWidth="8.6640625" defaultRowHeight="15" x14ac:dyDescent="0.2"/>
  <cols>
    <col min="1" max="2" width="12.6640625" customWidth="1"/>
    <col min="3" max="3" width="14.5" customWidth="1"/>
    <col min="4" max="4" width="21.5" customWidth="1"/>
    <col min="5" max="5" width="24.1640625" customWidth="1"/>
  </cols>
  <sheetData>
    <row r="1" spans="1:7" ht="27.75" customHeight="1" x14ac:dyDescent="0.2">
      <c r="A1" s="14" t="s">
        <v>27</v>
      </c>
      <c r="B1" s="14"/>
      <c r="C1" s="14"/>
      <c r="D1" s="14"/>
      <c r="E1" s="14"/>
    </row>
    <row r="2" spans="1:7" ht="15.75" customHeight="1" x14ac:dyDescent="0.2">
      <c r="A2" s="1" t="s">
        <v>3</v>
      </c>
      <c r="B2" s="1" t="s">
        <v>16</v>
      </c>
      <c r="C2" s="1" t="s">
        <v>0</v>
      </c>
      <c r="D2" s="1" t="s">
        <v>1</v>
      </c>
      <c r="E2" s="1" t="s">
        <v>2</v>
      </c>
    </row>
    <row r="3" spans="1:7" x14ac:dyDescent="0.2">
      <c r="A3" s="2">
        <v>13</v>
      </c>
      <c r="B3" s="2" t="s">
        <v>17</v>
      </c>
      <c r="C3" s="2">
        <v>20</v>
      </c>
      <c r="D3" s="8">
        <f>AVERAGE(D12:D31)</f>
        <v>345.7</v>
      </c>
      <c r="E3" s="3">
        <f>AVERAGE(E12:E31)</f>
        <v>2540.75</v>
      </c>
    </row>
    <row r="4" spans="1:7" x14ac:dyDescent="0.2">
      <c r="A4" s="4">
        <v>27</v>
      </c>
      <c r="B4" s="4" t="s">
        <v>18</v>
      </c>
      <c r="C4" s="4">
        <v>40</v>
      </c>
      <c r="D4" s="9">
        <f>AVERAGE(D33:D52)</f>
        <v>670.4</v>
      </c>
      <c r="E4" s="5">
        <f>AVERAGE(E33:E52)</f>
        <v>15034.1</v>
      </c>
    </row>
    <row r="5" spans="1:7" x14ac:dyDescent="0.2">
      <c r="A5" s="2">
        <v>40</v>
      </c>
      <c r="B5" s="2" t="s">
        <v>17</v>
      </c>
      <c r="C5" s="2">
        <v>60</v>
      </c>
      <c r="D5" s="8">
        <f>AVERAGE(D54:D73)</f>
        <v>975.15</v>
      </c>
      <c r="E5" s="3">
        <f>AVERAGE(E54:E73)</f>
        <v>43808.9</v>
      </c>
    </row>
    <row r="6" spans="1:7" x14ac:dyDescent="0.2">
      <c r="A6" s="4">
        <v>53</v>
      </c>
      <c r="B6" s="4" t="s">
        <v>19</v>
      </c>
      <c r="C6" s="4">
        <v>80</v>
      </c>
      <c r="D6" s="9">
        <f>AVERAGE(D75:D96)</f>
        <v>1302.047619047619</v>
      </c>
      <c r="E6" s="5">
        <f>AVERAGE(E75:E96)</f>
        <v>124081.90476190476</v>
      </c>
    </row>
    <row r="7" spans="1:7" x14ac:dyDescent="0.2">
      <c r="A7" s="2">
        <v>67</v>
      </c>
      <c r="B7" s="2" t="s">
        <v>20</v>
      </c>
      <c r="C7" s="2">
        <v>100</v>
      </c>
      <c r="D7" s="8">
        <f>AVERAGE(D96:D115)</f>
        <v>1587.3</v>
      </c>
      <c r="E7" s="3">
        <f>AVERAGE(E96:E115)</f>
        <v>356093.25</v>
      </c>
    </row>
    <row r="8" spans="1:7" x14ac:dyDescent="0.2">
      <c r="A8" s="4">
        <v>80</v>
      </c>
      <c r="B8" s="4" t="s">
        <v>17</v>
      </c>
      <c r="C8" s="4">
        <v>120</v>
      </c>
      <c r="D8" s="9">
        <f>AVERAGE(D117:D136)</f>
        <v>1912.1</v>
      </c>
      <c r="E8" s="5">
        <f>AVERAGE(E117:E136)</f>
        <v>966891.85</v>
      </c>
      <c r="G8" t="s">
        <v>5</v>
      </c>
    </row>
    <row r="12" spans="1:7" x14ac:dyDescent="0.2">
      <c r="C12">
        <v>20</v>
      </c>
      <c r="D12">
        <v>519</v>
      </c>
      <c r="E12">
        <v>1530</v>
      </c>
    </row>
    <row r="13" spans="1:7" x14ac:dyDescent="0.2">
      <c r="D13">
        <v>310</v>
      </c>
      <c r="E13">
        <v>3312</v>
      </c>
    </row>
    <row r="14" spans="1:7" x14ac:dyDescent="0.2">
      <c r="D14">
        <v>270</v>
      </c>
      <c r="E14">
        <v>1532</v>
      </c>
    </row>
    <row r="15" spans="1:7" x14ac:dyDescent="0.2">
      <c r="D15">
        <v>303</v>
      </c>
      <c r="E15">
        <v>1598</v>
      </c>
    </row>
    <row r="16" spans="1:7" x14ac:dyDescent="0.2">
      <c r="D16">
        <v>324</v>
      </c>
      <c r="E16">
        <v>2765</v>
      </c>
    </row>
    <row r="17" spans="4:5" x14ac:dyDescent="0.2">
      <c r="D17">
        <v>506</v>
      </c>
      <c r="E17">
        <v>2191</v>
      </c>
    </row>
    <row r="18" spans="4:5" x14ac:dyDescent="0.2">
      <c r="D18">
        <v>324</v>
      </c>
      <c r="E18">
        <v>2724</v>
      </c>
    </row>
    <row r="19" spans="4:5" x14ac:dyDescent="0.2">
      <c r="D19">
        <v>311</v>
      </c>
      <c r="E19">
        <v>1089</v>
      </c>
    </row>
    <row r="20" spans="4:5" x14ac:dyDescent="0.2">
      <c r="D20">
        <v>288</v>
      </c>
      <c r="E20">
        <v>3007</v>
      </c>
    </row>
    <row r="21" spans="4:5" x14ac:dyDescent="0.2">
      <c r="D21">
        <v>298</v>
      </c>
      <c r="E21">
        <v>3599</v>
      </c>
    </row>
    <row r="22" spans="4:5" x14ac:dyDescent="0.2">
      <c r="D22">
        <v>477</v>
      </c>
      <c r="E22">
        <v>2722</v>
      </c>
    </row>
    <row r="23" spans="4:5" x14ac:dyDescent="0.2">
      <c r="D23">
        <v>337</v>
      </c>
      <c r="E23">
        <v>3208</v>
      </c>
    </row>
    <row r="24" spans="4:5" x14ac:dyDescent="0.2">
      <c r="D24">
        <v>316</v>
      </c>
      <c r="E24">
        <v>3274</v>
      </c>
    </row>
    <row r="25" spans="4:5" x14ac:dyDescent="0.2">
      <c r="D25">
        <v>300</v>
      </c>
      <c r="E25">
        <v>1498</v>
      </c>
    </row>
    <row r="26" spans="4:5" x14ac:dyDescent="0.2">
      <c r="D26">
        <v>336</v>
      </c>
      <c r="E26">
        <v>3968</v>
      </c>
    </row>
    <row r="27" spans="4:5" x14ac:dyDescent="0.2">
      <c r="D27">
        <v>484</v>
      </c>
      <c r="E27">
        <v>1237</v>
      </c>
    </row>
    <row r="28" spans="4:5" x14ac:dyDescent="0.2">
      <c r="D28">
        <v>326</v>
      </c>
      <c r="E28">
        <v>2341</v>
      </c>
    </row>
    <row r="29" spans="4:5" x14ac:dyDescent="0.2">
      <c r="D29">
        <v>292</v>
      </c>
      <c r="E29">
        <v>3213</v>
      </c>
    </row>
    <row r="30" spans="4:5" x14ac:dyDescent="0.2">
      <c r="D30">
        <v>324</v>
      </c>
      <c r="E30">
        <v>3438</v>
      </c>
    </row>
    <row r="31" spans="4:5" x14ac:dyDescent="0.2">
      <c r="D31">
        <v>269</v>
      </c>
      <c r="E31">
        <v>2569</v>
      </c>
    </row>
    <row r="33" spans="3:5" x14ac:dyDescent="0.2">
      <c r="C33">
        <v>40</v>
      </c>
      <c r="D33">
        <v>825</v>
      </c>
      <c r="E33">
        <v>27677</v>
      </c>
    </row>
    <row r="34" spans="3:5" x14ac:dyDescent="0.2">
      <c r="D34">
        <v>592</v>
      </c>
      <c r="E34">
        <v>18611</v>
      </c>
    </row>
    <row r="35" spans="3:5" x14ac:dyDescent="0.2">
      <c r="D35">
        <v>660</v>
      </c>
      <c r="E35">
        <v>14865</v>
      </c>
    </row>
    <row r="36" spans="3:5" x14ac:dyDescent="0.2">
      <c r="D36">
        <v>594</v>
      </c>
      <c r="E36">
        <v>16031</v>
      </c>
    </row>
    <row r="37" spans="3:5" x14ac:dyDescent="0.2">
      <c r="D37">
        <v>589</v>
      </c>
      <c r="E37">
        <v>14320</v>
      </c>
    </row>
    <row r="38" spans="3:5" x14ac:dyDescent="0.2">
      <c r="D38">
        <v>890</v>
      </c>
      <c r="E38">
        <v>18178</v>
      </c>
    </row>
    <row r="39" spans="3:5" x14ac:dyDescent="0.2">
      <c r="D39">
        <v>671</v>
      </c>
      <c r="E39">
        <v>17974</v>
      </c>
    </row>
    <row r="40" spans="3:5" x14ac:dyDescent="0.2">
      <c r="D40">
        <v>624</v>
      </c>
      <c r="E40">
        <v>10397</v>
      </c>
    </row>
    <row r="41" spans="3:5" x14ac:dyDescent="0.2">
      <c r="D41">
        <v>610</v>
      </c>
      <c r="E41">
        <v>15896</v>
      </c>
    </row>
    <row r="42" spans="3:5" x14ac:dyDescent="0.2">
      <c r="D42">
        <v>603</v>
      </c>
      <c r="E42">
        <v>16493</v>
      </c>
    </row>
    <row r="43" spans="3:5" x14ac:dyDescent="0.2">
      <c r="D43">
        <v>846</v>
      </c>
      <c r="E43">
        <v>10689</v>
      </c>
    </row>
    <row r="44" spans="3:5" x14ac:dyDescent="0.2">
      <c r="D44">
        <v>652</v>
      </c>
      <c r="E44">
        <v>8260</v>
      </c>
    </row>
    <row r="45" spans="3:5" x14ac:dyDescent="0.2">
      <c r="D45">
        <v>573</v>
      </c>
      <c r="E45">
        <v>14787</v>
      </c>
    </row>
    <row r="46" spans="3:5" x14ac:dyDescent="0.2">
      <c r="D46">
        <v>650</v>
      </c>
      <c r="E46">
        <v>18125</v>
      </c>
    </row>
    <row r="47" spans="3:5" x14ac:dyDescent="0.2">
      <c r="D47">
        <v>619</v>
      </c>
      <c r="E47">
        <v>17589</v>
      </c>
    </row>
    <row r="48" spans="3:5" x14ac:dyDescent="0.2">
      <c r="D48">
        <v>859</v>
      </c>
      <c r="E48">
        <v>11251</v>
      </c>
    </row>
    <row r="49" spans="3:5" x14ac:dyDescent="0.2">
      <c r="D49">
        <v>615</v>
      </c>
      <c r="E49">
        <v>10239</v>
      </c>
    </row>
    <row r="50" spans="3:5" x14ac:dyDescent="0.2">
      <c r="D50">
        <v>672</v>
      </c>
      <c r="E50">
        <v>14143</v>
      </c>
    </row>
    <row r="51" spans="3:5" x14ac:dyDescent="0.2">
      <c r="D51">
        <v>628</v>
      </c>
      <c r="E51">
        <v>13193</v>
      </c>
    </row>
    <row r="52" spans="3:5" x14ac:dyDescent="0.2">
      <c r="D52">
        <v>636</v>
      </c>
      <c r="E52">
        <v>11964</v>
      </c>
    </row>
    <row r="54" spans="3:5" x14ac:dyDescent="0.2">
      <c r="C54">
        <v>60</v>
      </c>
      <c r="D54">
        <v>1122</v>
      </c>
      <c r="E54">
        <v>44209</v>
      </c>
    </row>
    <row r="55" spans="3:5" x14ac:dyDescent="0.2">
      <c r="D55">
        <v>989</v>
      </c>
      <c r="E55">
        <v>35543</v>
      </c>
    </row>
    <row r="56" spans="3:5" x14ac:dyDescent="0.2">
      <c r="D56">
        <v>1003</v>
      </c>
      <c r="E56">
        <v>57657</v>
      </c>
    </row>
    <row r="57" spans="3:5" x14ac:dyDescent="0.2">
      <c r="D57">
        <v>911</v>
      </c>
      <c r="E57">
        <v>19411</v>
      </c>
    </row>
    <row r="58" spans="3:5" x14ac:dyDescent="0.2">
      <c r="D58">
        <v>872</v>
      </c>
      <c r="E58">
        <v>34554</v>
      </c>
    </row>
    <row r="59" spans="3:5" x14ac:dyDescent="0.2">
      <c r="D59">
        <v>1143</v>
      </c>
      <c r="E59">
        <v>24369</v>
      </c>
    </row>
    <row r="60" spans="3:5" x14ac:dyDescent="0.2">
      <c r="D60">
        <v>1026</v>
      </c>
      <c r="E60">
        <v>43924</v>
      </c>
    </row>
    <row r="61" spans="3:5" x14ac:dyDescent="0.2">
      <c r="D61">
        <v>922</v>
      </c>
      <c r="E61">
        <v>53228</v>
      </c>
    </row>
    <row r="62" spans="3:5" x14ac:dyDescent="0.2">
      <c r="D62">
        <v>922</v>
      </c>
      <c r="E62">
        <v>39917</v>
      </c>
    </row>
    <row r="63" spans="3:5" x14ac:dyDescent="0.2">
      <c r="D63">
        <v>857</v>
      </c>
      <c r="E63">
        <v>30242</v>
      </c>
    </row>
    <row r="64" spans="3:5" x14ac:dyDescent="0.2">
      <c r="D64">
        <v>1177</v>
      </c>
      <c r="E64">
        <v>67379</v>
      </c>
    </row>
    <row r="65" spans="3:5" x14ac:dyDescent="0.2">
      <c r="D65">
        <v>967</v>
      </c>
      <c r="E65">
        <v>38393</v>
      </c>
    </row>
    <row r="66" spans="3:5" x14ac:dyDescent="0.2">
      <c r="D66">
        <v>891</v>
      </c>
      <c r="E66">
        <v>66375</v>
      </c>
    </row>
    <row r="67" spans="3:5" x14ac:dyDescent="0.2">
      <c r="D67">
        <v>935</v>
      </c>
      <c r="E67">
        <v>24403</v>
      </c>
    </row>
    <row r="68" spans="3:5" x14ac:dyDescent="0.2">
      <c r="D68">
        <v>926</v>
      </c>
      <c r="E68">
        <v>29486</v>
      </c>
    </row>
    <row r="69" spans="3:5" x14ac:dyDescent="0.2">
      <c r="D69">
        <v>1145</v>
      </c>
      <c r="E69">
        <v>59560</v>
      </c>
    </row>
    <row r="70" spans="3:5" x14ac:dyDescent="0.2">
      <c r="D70">
        <v>963</v>
      </c>
      <c r="E70">
        <v>44514</v>
      </c>
    </row>
    <row r="71" spans="3:5" x14ac:dyDescent="0.2">
      <c r="D71">
        <v>988</v>
      </c>
      <c r="E71">
        <v>47679</v>
      </c>
    </row>
    <row r="72" spans="3:5" x14ac:dyDescent="0.2">
      <c r="D72">
        <v>878</v>
      </c>
      <c r="E72">
        <v>61758</v>
      </c>
    </row>
    <row r="73" spans="3:5" x14ac:dyDescent="0.2">
      <c r="D73">
        <v>866</v>
      </c>
      <c r="E73">
        <v>53577</v>
      </c>
    </row>
    <row r="75" spans="3:5" x14ac:dyDescent="0.2">
      <c r="C75">
        <v>80</v>
      </c>
      <c r="D75">
        <v>1514</v>
      </c>
      <c r="E75">
        <v>111842</v>
      </c>
    </row>
    <row r="76" spans="3:5" x14ac:dyDescent="0.2">
      <c r="D76">
        <v>1227</v>
      </c>
      <c r="E76">
        <v>97396</v>
      </c>
    </row>
    <row r="77" spans="3:5" x14ac:dyDescent="0.2">
      <c r="D77">
        <v>1193</v>
      </c>
      <c r="E77">
        <v>67459</v>
      </c>
    </row>
    <row r="78" spans="3:5" x14ac:dyDescent="0.2">
      <c r="D78">
        <v>1285</v>
      </c>
      <c r="E78">
        <v>106312</v>
      </c>
    </row>
    <row r="79" spans="3:5" x14ac:dyDescent="0.2">
      <c r="D79">
        <v>1200</v>
      </c>
      <c r="E79">
        <v>187055</v>
      </c>
    </row>
    <row r="80" spans="3:5" x14ac:dyDescent="0.2">
      <c r="D80">
        <v>1477</v>
      </c>
      <c r="E80">
        <v>6561</v>
      </c>
    </row>
    <row r="81" spans="3:5" x14ac:dyDescent="0.2">
      <c r="D81">
        <v>1295</v>
      </c>
      <c r="E81">
        <v>134749</v>
      </c>
    </row>
    <row r="82" spans="3:5" x14ac:dyDescent="0.2">
      <c r="D82">
        <v>1225</v>
      </c>
      <c r="E82">
        <v>137259</v>
      </c>
    </row>
    <row r="83" spans="3:5" x14ac:dyDescent="0.2">
      <c r="D83">
        <v>1222</v>
      </c>
      <c r="E83">
        <v>187679</v>
      </c>
    </row>
    <row r="84" spans="3:5" x14ac:dyDescent="0.2">
      <c r="D84">
        <v>1186</v>
      </c>
      <c r="E84">
        <v>129964</v>
      </c>
    </row>
    <row r="85" spans="3:5" x14ac:dyDescent="0.2">
      <c r="D85">
        <v>1444</v>
      </c>
      <c r="E85">
        <v>118073</v>
      </c>
    </row>
    <row r="86" spans="3:5" x14ac:dyDescent="0.2">
      <c r="D86">
        <v>1208</v>
      </c>
      <c r="E86">
        <v>148009</v>
      </c>
    </row>
    <row r="87" spans="3:5" x14ac:dyDescent="0.2">
      <c r="D87">
        <v>1228</v>
      </c>
      <c r="E87">
        <v>104379</v>
      </c>
    </row>
    <row r="88" spans="3:5" x14ac:dyDescent="0.2">
      <c r="D88">
        <v>1204</v>
      </c>
      <c r="E88">
        <v>87577</v>
      </c>
    </row>
    <row r="89" spans="3:5" x14ac:dyDescent="0.2">
      <c r="D89">
        <v>1223</v>
      </c>
      <c r="E89">
        <v>97216</v>
      </c>
    </row>
    <row r="90" spans="3:5" x14ac:dyDescent="0.2">
      <c r="D90">
        <v>1450</v>
      </c>
      <c r="E90">
        <v>81893</v>
      </c>
    </row>
    <row r="91" spans="3:5" x14ac:dyDescent="0.2">
      <c r="D91">
        <v>1268</v>
      </c>
      <c r="E91">
        <v>141358</v>
      </c>
    </row>
    <row r="92" spans="3:5" x14ac:dyDescent="0.2">
      <c r="D92">
        <v>1190</v>
      </c>
      <c r="E92">
        <v>76260</v>
      </c>
    </row>
    <row r="93" spans="3:5" x14ac:dyDescent="0.2">
      <c r="D93">
        <v>1257</v>
      </c>
      <c r="E93">
        <v>208572</v>
      </c>
    </row>
    <row r="94" spans="3:5" x14ac:dyDescent="0.2">
      <c r="D94">
        <v>1240</v>
      </c>
      <c r="E94">
        <v>130635</v>
      </c>
    </row>
    <row r="96" spans="3:5" x14ac:dyDescent="0.2">
      <c r="C96">
        <v>100</v>
      </c>
      <c r="D96">
        <v>1807</v>
      </c>
      <c r="E96">
        <v>245472</v>
      </c>
    </row>
    <row r="97" spans="4:5" x14ac:dyDescent="0.2">
      <c r="D97">
        <v>1627</v>
      </c>
      <c r="E97">
        <v>345978</v>
      </c>
    </row>
    <row r="98" spans="4:5" x14ac:dyDescent="0.2">
      <c r="D98">
        <v>1517</v>
      </c>
      <c r="E98">
        <v>77058</v>
      </c>
    </row>
    <row r="99" spans="4:5" x14ac:dyDescent="0.2">
      <c r="D99">
        <v>1471</v>
      </c>
      <c r="E99">
        <v>272895</v>
      </c>
    </row>
    <row r="100" spans="4:5" x14ac:dyDescent="0.2">
      <c r="D100">
        <v>1489</v>
      </c>
      <c r="E100">
        <v>363581</v>
      </c>
    </row>
    <row r="101" spans="4:5" x14ac:dyDescent="0.2">
      <c r="D101">
        <v>1852</v>
      </c>
      <c r="E101">
        <v>355934</v>
      </c>
    </row>
    <row r="102" spans="4:5" x14ac:dyDescent="0.2">
      <c r="D102">
        <v>1552</v>
      </c>
      <c r="E102">
        <v>204211</v>
      </c>
    </row>
    <row r="103" spans="4:5" x14ac:dyDescent="0.2">
      <c r="D103">
        <v>1453</v>
      </c>
      <c r="E103">
        <v>163761</v>
      </c>
    </row>
    <row r="104" spans="4:5" x14ac:dyDescent="0.2">
      <c r="D104">
        <v>1544</v>
      </c>
      <c r="E104">
        <v>355336</v>
      </c>
    </row>
    <row r="105" spans="4:5" x14ac:dyDescent="0.2">
      <c r="D105">
        <v>1490</v>
      </c>
      <c r="E105">
        <v>242422</v>
      </c>
    </row>
    <row r="106" spans="4:5" x14ac:dyDescent="0.2">
      <c r="D106">
        <v>1751</v>
      </c>
      <c r="E106">
        <v>336964</v>
      </c>
    </row>
    <row r="107" spans="4:5" x14ac:dyDescent="0.2">
      <c r="D107">
        <v>1592</v>
      </c>
      <c r="E107">
        <v>731159</v>
      </c>
    </row>
    <row r="108" spans="4:5" x14ac:dyDescent="0.2">
      <c r="D108">
        <v>1548</v>
      </c>
      <c r="E108">
        <v>784391</v>
      </c>
    </row>
    <row r="109" spans="4:5" x14ac:dyDescent="0.2">
      <c r="D109">
        <v>1529</v>
      </c>
      <c r="E109">
        <v>457760</v>
      </c>
    </row>
    <row r="110" spans="4:5" x14ac:dyDescent="0.2">
      <c r="D110">
        <v>1448</v>
      </c>
      <c r="E110">
        <v>347017</v>
      </c>
    </row>
    <row r="111" spans="4:5" x14ac:dyDescent="0.2">
      <c r="D111">
        <v>1871</v>
      </c>
      <c r="E111">
        <v>367808</v>
      </c>
    </row>
    <row r="112" spans="4:5" x14ac:dyDescent="0.2">
      <c r="D112">
        <v>1599</v>
      </c>
      <c r="E112">
        <v>323543</v>
      </c>
    </row>
    <row r="113" spans="3:5" x14ac:dyDescent="0.2">
      <c r="D113">
        <v>1596</v>
      </c>
      <c r="E113">
        <v>749379</v>
      </c>
    </row>
    <row r="114" spans="3:5" x14ac:dyDescent="0.2">
      <c r="D114">
        <v>1539</v>
      </c>
      <c r="E114">
        <v>82293</v>
      </c>
    </row>
    <row r="115" spans="3:5" x14ac:dyDescent="0.2">
      <c r="D115">
        <v>1471</v>
      </c>
      <c r="E115">
        <v>314903</v>
      </c>
    </row>
    <row r="117" spans="3:5" x14ac:dyDescent="0.2">
      <c r="C117">
        <v>120</v>
      </c>
      <c r="D117">
        <v>2154</v>
      </c>
      <c r="E117">
        <v>511798</v>
      </c>
    </row>
    <row r="118" spans="3:5" x14ac:dyDescent="0.2">
      <c r="D118">
        <v>1977</v>
      </c>
      <c r="E118">
        <v>1813172</v>
      </c>
    </row>
    <row r="119" spans="3:5" x14ac:dyDescent="0.2">
      <c r="D119">
        <v>1804</v>
      </c>
      <c r="E119">
        <v>1815678</v>
      </c>
    </row>
    <row r="120" spans="3:5" x14ac:dyDescent="0.2">
      <c r="D120">
        <v>1780</v>
      </c>
      <c r="E120">
        <v>319548</v>
      </c>
    </row>
    <row r="121" spans="3:5" x14ac:dyDescent="0.2">
      <c r="D121">
        <v>1760</v>
      </c>
      <c r="E121">
        <v>281338</v>
      </c>
    </row>
    <row r="122" spans="3:5" x14ac:dyDescent="0.2">
      <c r="D122">
        <v>2217</v>
      </c>
      <c r="E122">
        <v>1810140</v>
      </c>
    </row>
    <row r="123" spans="3:5" x14ac:dyDescent="0.2">
      <c r="D123">
        <v>1968</v>
      </c>
      <c r="E123">
        <v>689513</v>
      </c>
    </row>
    <row r="124" spans="3:5" x14ac:dyDescent="0.2">
      <c r="D124">
        <v>1882</v>
      </c>
      <c r="E124">
        <v>1812181</v>
      </c>
    </row>
    <row r="125" spans="3:5" x14ac:dyDescent="0.2">
      <c r="D125">
        <v>1811</v>
      </c>
      <c r="E125">
        <v>413289</v>
      </c>
    </row>
    <row r="126" spans="3:5" x14ac:dyDescent="0.2">
      <c r="D126">
        <v>1829</v>
      </c>
      <c r="E126">
        <v>422554</v>
      </c>
    </row>
    <row r="127" spans="3:5" x14ac:dyDescent="0.2">
      <c r="D127">
        <v>2160</v>
      </c>
      <c r="E127">
        <v>1811122</v>
      </c>
    </row>
    <row r="128" spans="3:5" x14ac:dyDescent="0.2">
      <c r="D128">
        <v>1866</v>
      </c>
      <c r="E128">
        <v>366224</v>
      </c>
    </row>
    <row r="129" spans="4:5" x14ac:dyDescent="0.2">
      <c r="D129">
        <v>1853</v>
      </c>
      <c r="E129">
        <v>1810420</v>
      </c>
    </row>
    <row r="130" spans="4:5" x14ac:dyDescent="0.2">
      <c r="D130">
        <v>1867</v>
      </c>
      <c r="E130">
        <v>382995</v>
      </c>
    </row>
    <row r="131" spans="4:5" x14ac:dyDescent="0.2">
      <c r="D131">
        <v>1814</v>
      </c>
      <c r="E131">
        <v>12985</v>
      </c>
    </row>
    <row r="132" spans="4:5" x14ac:dyDescent="0.2">
      <c r="D132">
        <v>2221</v>
      </c>
      <c r="E132">
        <v>490208</v>
      </c>
    </row>
    <row r="133" spans="4:5" x14ac:dyDescent="0.2">
      <c r="D133">
        <v>1809</v>
      </c>
      <c r="E133">
        <v>268306</v>
      </c>
    </row>
    <row r="134" spans="4:5" x14ac:dyDescent="0.2">
      <c r="D134">
        <v>1888</v>
      </c>
      <c r="E134">
        <v>682238</v>
      </c>
    </row>
    <row r="135" spans="4:5" x14ac:dyDescent="0.2">
      <c r="D135">
        <v>1824</v>
      </c>
      <c r="E135">
        <v>1812568</v>
      </c>
    </row>
    <row r="136" spans="4:5" x14ac:dyDescent="0.2">
      <c r="D136">
        <v>1758</v>
      </c>
      <c r="E136">
        <v>1811560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ignoredErrors>
    <ignoredError sqref="E6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="88" zoomScaleNormal="62" workbookViewId="0">
      <selection activeCell="C20" sqref="C20"/>
    </sheetView>
  </sheetViews>
  <sheetFormatPr baseColWidth="10" defaultColWidth="8.6640625" defaultRowHeight="15" x14ac:dyDescent="0.2"/>
  <cols>
    <col min="2" max="2" width="18" customWidth="1"/>
    <col min="3" max="4" width="28" customWidth="1"/>
  </cols>
  <sheetData>
    <row r="1" spans="1:4" ht="27.75" customHeight="1" x14ac:dyDescent="0.2">
      <c r="B1" s="14" t="s">
        <v>4</v>
      </c>
      <c r="C1" s="14"/>
      <c r="D1" s="14"/>
    </row>
    <row r="2" spans="1:4" ht="15.75" customHeight="1" x14ac:dyDescent="0.2">
      <c r="B2" s="1" t="s">
        <v>0</v>
      </c>
      <c r="C2" s="1" t="s">
        <v>1</v>
      </c>
      <c r="D2" s="1" t="s">
        <v>2</v>
      </c>
    </row>
    <row r="3" spans="1:4" x14ac:dyDescent="0.2">
      <c r="A3" t="s">
        <v>21</v>
      </c>
      <c r="B3" s="2">
        <v>48</v>
      </c>
      <c r="C3" s="8">
        <v>514</v>
      </c>
      <c r="D3" s="3">
        <v>86</v>
      </c>
    </row>
    <row r="4" spans="1:4" x14ac:dyDescent="0.2">
      <c r="A4" t="s">
        <v>22</v>
      </c>
      <c r="B4" s="4">
        <v>96</v>
      </c>
      <c r="C4" s="9">
        <v>1453</v>
      </c>
      <c r="D4" s="5">
        <v>389</v>
      </c>
    </row>
    <row r="5" spans="1:4" x14ac:dyDescent="0.2">
      <c r="A5" t="s">
        <v>23</v>
      </c>
      <c r="B5" s="2">
        <v>144</v>
      </c>
      <c r="C5" s="8">
        <v>3765</v>
      </c>
      <c r="D5" s="3">
        <v>1147</v>
      </c>
    </row>
    <row r="6" spans="1:4" x14ac:dyDescent="0.2">
      <c r="A6" t="s">
        <v>24</v>
      </c>
      <c r="B6" s="4">
        <v>192</v>
      </c>
      <c r="C6" s="9">
        <v>5970</v>
      </c>
      <c r="D6" s="5">
        <v>2946</v>
      </c>
    </row>
    <row r="7" spans="1:4" x14ac:dyDescent="0.2">
      <c r="A7" t="s">
        <v>25</v>
      </c>
      <c r="B7" s="2">
        <v>240</v>
      </c>
      <c r="C7" s="8">
        <v>10922</v>
      </c>
      <c r="D7" s="3">
        <v>6483</v>
      </c>
    </row>
    <row r="8" spans="1:4" x14ac:dyDescent="0.2">
      <c r="A8" t="s">
        <v>26</v>
      </c>
      <c r="B8" s="4">
        <v>288</v>
      </c>
      <c r="C8" s="9">
        <v>17083</v>
      </c>
      <c r="D8" s="5">
        <v>11449</v>
      </c>
    </row>
    <row r="9" spans="1:4" x14ac:dyDescent="0.2">
      <c r="B9" s="2"/>
      <c r="C9" s="3"/>
      <c r="D9" s="3"/>
    </row>
    <row r="10" spans="1:4" x14ac:dyDescent="0.2">
      <c r="B10" s="4"/>
      <c r="C10" s="5"/>
      <c r="D10" s="5"/>
    </row>
    <row r="11" spans="1:4" x14ac:dyDescent="0.2">
      <c r="B11" s="2"/>
      <c r="C11" s="3"/>
      <c r="D11" s="3"/>
    </row>
    <row r="12" spans="1:4" x14ac:dyDescent="0.2">
      <c r="B12" s="4"/>
      <c r="C12" s="5"/>
      <c r="D12" s="5"/>
    </row>
    <row r="13" spans="1:4" x14ac:dyDescent="0.2">
      <c r="B13" s="2"/>
      <c r="C13" s="3"/>
      <c r="D13" s="3"/>
    </row>
  </sheetData>
  <mergeCells count="1">
    <mergeCell ref="B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Stanford</vt:lpstr>
      <vt:lpstr>CESNET</vt:lpstr>
      <vt:lpstr>Texas2000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 Ministro  Filippo</cp:lastModifiedBy>
  <cp:revision>2</cp:revision>
  <dcterms:created xsi:type="dcterms:W3CDTF">2026-07-22T16:07:36Z</dcterms:created>
  <dcterms:modified xsi:type="dcterms:W3CDTF">2026-09-03T15:31:50Z</dcterms:modified>
  <dc:language>en-US</dc:language>
</cp:coreProperties>
</file>